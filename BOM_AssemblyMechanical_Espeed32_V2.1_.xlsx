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giacF\Desktop\WorkLocal\PERSONAL\PROJECTS\SlotCar\DOC\BOM-COSTS\Backup\"/>
    </mc:Choice>
  </mc:AlternateContent>
  <xr:revisionPtr revIDLastSave="0" documentId="8_{7F20FA6D-CEBA-401A-B24D-D6E857BA049B}" xr6:coauthVersionLast="47" xr6:coauthVersionMax="47" xr10:uidLastSave="{00000000-0000-0000-0000-000000000000}"/>
  <bookViews>
    <workbookView xWindow="-108" yWindow="-108" windowWidth="30936" windowHeight="16776" xr2:uid="{07024F4D-E5C7-4B8A-AB6A-143DE046C366}"/>
  </bookViews>
  <sheets>
    <sheet name="Sheet1" sheetId="5" r:id="rId1"/>
  </sheets>
  <definedNames>
    <definedName name="_xlnm._FilterDatabase" localSheetId="0" hidden="1">Sheet1!$A$1:$J$15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H15" i="5" s="1"/>
  <c r="G8" i="5"/>
  <c r="H8" i="5" s="1"/>
  <c r="G4" i="5"/>
  <c r="H4" i="5" s="1"/>
  <c r="G12" i="5"/>
  <c r="H12" i="5" s="1"/>
  <c r="G11" i="5"/>
  <c r="H11" i="5" s="1"/>
  <c r="G10" i="5"/>
  <c r="G5" i="5"/>
  <c r="H5" i="5" s="1"/>
  <c r="G14" i="5" l="1"/>
  <c r="H14" i="5" s="1"/>
  <c r="G13" i="5" l="1"/>
  <c r="H13" i="5" s="1"/>
  <c r="G6" i="5"/>
  <c r="H6" i="5" s="1"/>
  <c r="G9" i="5"/>
  <c r="H9" i="5" s="1"/>
  <c r="H10" i="5"/>
  <c r="G2" i="5"/>
  <c r="H2" i="5" s="1"/>
</calcChain>
</file>

<file path=xl/sharedStrings.xml><?xml version="1.0" encoding="utf-8"?>
<sst xmlns="http://schemas.openxmlformats.org/spreadsheetml/2006/main" count="56" uniqueCount="45">
  <si>
    <t>Item</t>
  </si>
  <si>
    <t>PCB + passive components</t>
  </si>
  <si>
    <t>Quantity per 1 remote</t>
  </si>
  <si>
    <t>Price per batch including shipping[euro]</t>
  </si>
  <si>
    <t>Price per each item</t>
  </si>
  <si>
    <t>Price per this item in the remote</t>
  </si>
  <si>
    <t>Supplier</t>
  </si>
  <si>
    <t>JLC PCB</t>
  </si>
  <si>
    <t>purhcase Batch item count</t>
  </si>
  <si>
    <t>Aliexpress</t>
  </si>
  <si>
    <t>Last order link</t>
  </si>
  <si>
    <t>https://www.aliexpress.com/item/1005006180128211.html?spm=a2g0o.order_detail.order_detail_item.3.745bf19cdOju7y</t>
  </si>
  <si>
    <t>https://www.aliexpress.com/item/1005005444256360.html?spm=a2g0o.order_detail.order_detail_item.2.76e6f19cBhTcOT</t>
  </si>
  <si>
    <t>https://www.aliexpress.com/item/32810852732.html?spm=a2g0o.order_detail.order_detail_item.4.69f1f19cIklgIe</t>
  </si>
  <si>
    <t>Screw M5x25mm buttn head</t>
  </si>
  <si>
    <t>https://it.aliexpress.com/item/32986140134.html?spm=a2g0o.order_list.order_list_main.78.5e657385RUSNNP&amp;gatewayAdapt=glo2ita</t>
  </si>
  <si>
    <t>Trigger bearing</t>
  </si>
  <si>
    <t>Trigger travel adjust</t>
  </si>
  <si>
    <t>Trigger Tension</t>
  </si>
  <si>
    <t>Tirgger Pos Sensor</t>
  </si>
  <si>
    <t>Function/position/note</t>
  </si>
  <si>
    <t>Knobs for rotary encoder</t>
  </si>
  <si>
    <t>15X17mm 6mm Shaft Hole AG2</t>
  </si>
  <si>
    <t>https://www.aliexpress.com/item/1005005407773040.html?spm=a2g0o.order_list.order_list_main.4.163736961HpVXs&amp;gatewayAdapt=glo2ita</t>
  </si>
  <si>
    <t>Yellow wiper, Red +, Black -</t>
  </si>
  <si>
    <t>Digikey</t>
  </si>
  <si>
    <t>Screw M3x10mm button head</t>
  </si>
  <si>
    <t>Ball Bearing 8x16x5mm</t>
  </si>
  <si>
    <t>Magnet Diametrically Neodimium 5x2,5 mm (better 6x2.5)</t>
  </si>
  <si>
    <t>Spring Compression for trigger travel (0,6x7x25 or 0,7x7x25)</t>
  </si>
  <si>
    <t>Trigger to wahser to bearing &amp; slide (slied was 12)</t>
  </si>
  <si>
    <t xml:space="preserve">Thread insert M3, M3x6.3Lx4.6ODx5.5HD 100pcs </t>
  </si>
  <si>
    <t>Thread Insert Trig M3 7x4.5</t>
  </si>
  <si>
    <t>1 for trigger to bearing</t>
  </si>
  <si>
    <t>4 for case closure
1 trigger tension</t>
  </si>
  <si>
    <t>Screw M3x22 flat head</t>
  </si>
  <si>
    <t>Spring Extension for trigger tension (0,4x5x15 or maybe also 0,4x5x20mm Best:0,5x6x20mm</t>
  </si>
  <si>
    <t>Genere/Group</t>
  </si>
  <si>
    <t>Battery</t>
  </si>
  <si>
    <r>
      <t>3DprintEnclosure(</t>
    </r>
    <r>
      <rPr>
        <sz val="8"/>
        <color theme="1"/>
        <rFont val="Arial"/>
        <family val="2"/>
      </rPr>
      <t>all parts including trigger and washers, quantity expressed in</t>
    </r>
    <r>
      <rPr>
        <sz val="11"/>
        <color theme="1"/>
        <rFont val="Arial"/>
        <family val="2"/>
      </rPr>
      <t xml:space="preserve"> grams) </t>
    </r>
    <r>
      <rPr>
        <sz val="11"/>
        <color rgb="FFFF0000"/>
        <rFont val="Arial"/>
        <family val="2"/>
      </rPr>
      <t>PETG</t>
    </r>
  </si>
  <si>
    <t>Bambu</t>
  </si>
  <si>
    <t>Electronic PCB</t>
  </si>
  <si>
    <t>Electronic Accessory</t>
  </si>
  <si>
    <t>Case closure all of them</t>
  </si>
  <si>
    <t>Cable AWG 16 silicon (1,1mx3)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</si>
</sst>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rgb="FFFF0000"/>
      <name val="Arial"/>
      <family val="2"/>
    </font>
    <font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1"/>
    <xf numFmtId="2" fontId="1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2" fontId="4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4" fillId="2" borderId="3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0" fillId="8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5" fillId="9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9"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color theme="0"/>
      </font>
      <fill>
        <patternFill>
          <bgColor rgb="FF078276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IFX2023" defaultPivotStyle="PivotStyleLight16">
    <tableStyle name="IFX2023" pivot="0" count="9" xr9:uid="{21AC3A74-B4CB-45D0-B22D-1051F2EC489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078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1544956</xdr:colOff>
      <xdr:row>12</xdr:row>
      <xdr:rowOff>58144</xdr:rowOff>
    </xdr:from>
    <xdr:to>
      <xdr:col>1</xdr:col>
      <xdr:colOff>19997</xdr:colOff>
      <xdr:row>12</xdr:row>
      <xdr:rowOff>517249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DF9F5-E4A7-4EE4-98F2-504231DFC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4956" y="6174022"/>
          <a:ext cx="363476" cy="459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Infineon2023">
      <a:dk1>
        <a:srgbClr val="1D1D1D"/>
      </a:dk1>
      <a:lt1>
        <a:srgbClr val="FFFFFF"/>
      </a:lt1>
      <a:dk2>
        <a:srgbClr val="0A8276"/>
      </a:dk2>
      <a:lt2>
        <a:srgbClr val="8D8786"/>
      </a:lt2>
      <a:accent1>
        <a:srgbClr val="0A8276"/>
      </a:accent1>
      <a:accent2>
        <a:srgbClr val="575352"/>
      </a:accent2>
      <a:accent3>
        <a:srgbClr val="F97414"/>
      </a:accent3>
      <a:accent4>
        <a:srgbClr val="9BBA43"/>
      </a:accent4>
      <a:accent5>
        <a:srgbClr val="FCD442"/>
      </a:accent5>
      <a:accent6>
        <a:srgbClr val="9C216E"/>
      </a:accent6>
      <a:hlink>
        <a:srgbClr val="0A8276"/>
      </a:hlink>
      <a:folHlink>
        <a:srgbClr val="0A827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.aliexpress.com/item/32986140134.html?spm=a2g0o.order_list.order_list_main.78.5e657385RUSNNP&amp;gatewayAdapt=glo2ita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aliexpress.com/item/1005005444256360.html?spm=a2g0o.order_detail.order_detail_item.2.76e6f19cBhTcOT" TargetMode="External"/><Relationship Id="rId1" Type="http://schemas.openxmlformats.org/officeDocument/2006/relationships/hyperlink" Target="https://www.aliexpress.com/item/1005006180128211.html?spm=a2g0o.order_detail.order_detail_item.3.745bf19cdOju7y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com/item/1005005407773040.html?spm=a2g0o.order_list.order_list_main.4.163736961HpVXs&amp;gatewayAdapt=glo2ita" TargetMode="External"/><Relationship Id="rId4" Type="http://schemas.openxmlformats.org/officeDocument/2006/relationships/hyperlink" Target="https://www.aliexpress.com/item/32810852732.html?spm=a2g0o.order_detail.order_detail_item.4.69f1f19cIklg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648D-BF06-4D48-9391-82B9A0717805}">
  <dimension ref="A1:J15"/>
  <sheetViews>
    <sheetView tabSelected="1" zoomScale="85" zoomScaleNormal="85" workbookViewId="0">
      <selection activeCell="A22" sqref="A22"/>
    </sheetView>
  </sheetViews>
  <sheetFormatPr defaultColWidth="9.109375" defaultRowHeight="13.8" x14ac:dyDescent="0.25"/>
  <cols>
    <col min="1" max="1" width="29.6640625" style="2" customWidth="1"/>
    <col min="2" max="2" width="24.77734375" style="5" customWidth="1"/>
    <col min="3" max="3" width="22.33203125" style="5" customWidth="1"/>
    <col min="4" max="4" width="9.6640625" style="4" customWidth="1"/>
    <col min="5" max="5" width="18" style="2" customWidth="1"/>
    <col min="6" max="7" width="11.5546875" style="2" customWidth="1"/>
    <col min="8" max="8" width="18.88671875" style="2" customWidth="1"/>
    <col min="9" max="9" width="18.77734375" style="2" customWidth="1"/>
    <col min="10" max="10" width="25.88671875" style="1" customWidth="1"/>
    <col min="11" max="16384" width="9.109375" style="1"/>
  </cols>
  <sheetData>
    <row r="1" spans="1:10" ht="55.95" customHeight="1" thickBot="1" x14ac:dyDescent="0.3">
      <c r="A1" s="11" t="s">
        <v>0</v>
      </c>
      <c r="B1" s="7" t="s">
        <v>20</v>
      </c>
      <c r="C1" s="7" t="s">
        <v>37</v>
      </c>
      <c r="D1" s="8" t="s">
        <v>2</v>
      </c>
      <c r="E1" s="9" t="s">
        <v>3</v>
      </c>
      <c r="F1" s="9" t="s">
        <v>8</v>
      </c>
      <c r="G1" s="9" t="s">
        <v>4</v>
      </c>
      <c r="H1" s="9" t="s">
        <v>5</v>
      </c>
      <c r="I1" s="9" t="s">
        <v>6</v>
      </c>
      <c r="J1" s="9" t="s">
        <v>10</v>
      </c>
    </row>
    <row r="2" spans="1:10" x14ac:dyDescent="0.25">
      <c r="A2" s="12" t="s">
        <v>1</v>
      </c>
      <c r="C2" s="5" t="s">
        <v>41</v>
      </c>
      <c r="D2" s="4">
        <v>1</v>
      </c>
      <c r="E2" s="2">
        <v>188</v>
      </c>
      <c r="F2" s="2">
        <v>10</v>
      </c>
      <c r="G2" s="2">
        <f>E2/F2</f>
        <v>18.8</v>
      </c>
      <c r="H2" s="2">
        <f>G2*D2</f>
        <v>18.8</v>
      </c>
      <c r="I2" s="2" t="s">
        <v>7</v>
      </c>
      <c r="J2" s="2"/>
    </row>
    <row r="3" spans="1:10" ht="14.4" x14ac:dyDescent="0.3">
      <c r="A3" s="19" t="s">
        <v>38</v>
      </c>
      <c r="C3" s="5" t="s">
        <v>42</v>
      </c>
      <c r="D3" s="4">
        <v>1</v>
      </c>
      <c r="I3" s="2" t="s">
        <v>9</v>
      </c>
      <c r="J3" s="3"/>
    </row>
    <row r="4" spans="1:10" ht="14.4" x14ac:dyDescent="0.3">
      <c r="A4" s="13" t="s">
        <v>21</v>
      </c>
      <c r="B4" s="5" t="s">
        <v>22</v>
      </c>
      <c r="D4" s="4">
        <v>1</v>
      </c>
      <c r="E4" s="2">
        <v>1.8</v>
      </c>
      <c r="F4" s="2">
        <v>20</v>
      </c>
      <c r="G4" s="2">
        <f>E4/F4</f>
        <v>0.09</v>
      </c>
      <c r="H4" s="2">
        <f>G4*D4</f>
        <v>0.09</v>
      </c>
      <c r="I4" s="2" t="s">
        <v>9</v>
      </c>
      <c r="J4" s="3" t="s">
        <v>23</v>
      </c>
    </row>
    <row r="5" spans="1:10" ht="41.4" x14ac:dyDescent="0.25">
      <c r="A5" s="13" t="s">
        <v>28</v>
      </c>
      <c r="B5" s="5" t="s">
        <v>19</v>
      </c>
      <c r="D5" s="4">
        <v>1</v>
      </c>
      <c r="E5" s="2">
        <v>4.1100000000000003</v>
      </c>
      <c r="F5" s="2">
        <v>25</v>
      </c>
      <c r="G5" s="2">
        <f>E5/F5</f>
        <v>0.16440000000000002</v>
      </c>
      <c r="H5" s="10">
        <f>G5*D5*1.2</f>
        <v>0.19728000000000001</v>
      </c>
      <c r="I5" s="2" t="s">
        <v>25</v>
      </c>
    </row>
    <row r="6" spans="1:10" ht="28.2" x14ac:dyDescent="0.3">
      <c r="A6" s="13" t="s">
        <v>31</v>
      </c>
      <c r="B6" s="5" t="s">
        <v>34</v>
      </c>
      <c r="D6" s="4">
        <v>5</v>
      </c>
      <c r="E6" s="2">
        <v>5.69</v>
      </c>
      <c r="F6" s="2">
        <v>100</v>
      </c>
      <c r="G6" s="2">
        <f t="shared" ref="G6:G9" si="0">E6/F6</f>
        <v>5.6900000000000006E-2</v>
      </c>
      <c r="H6" s="2">
        <f>G6*D6</f>
        <v>0.28450000000000003</v>
      </c>
      <c r="I6" s="2" t="s">
        <v>9</v>
      </c>
      <c r="J6" s="3" t="s">
        <v>12</v>
      </c>
    </row>
    <row r="7" spans="1:10" ht="14.4" x14ac:dyDescent="0.3">
      <c r="A7" s="13" t="s">
        <v>32</v>
      </c>
      <c r="B7" s="5" t="s">
        <v>33</v>
      </c>
      <c r="D7" s="4">
        <v>1</v>
      </c>
      <c r="I7" s="2" t="s">
        <v>9</v>
      </c>
      <c r="J7" s="3"/>
    </row>
    <row r="8" spans="1:10" ht="24" x14ac:dyDescent="0.3">
      <c r="A8" s="14" t="s">
        <v>26</v>
      </c>
      <c r="B8" s="6" t="s">
        <v>30</v>
      </c>
      <c r="C8" s="6"/>
      <c r="D8" s="4">
        <v>2</v>
      </c>
      <c r="E8" s="2">
        <v>2.48</v>
      </c>
      <c r="F8" s="2">
        <v>50</v>
      </c>
      <c r="G8" s="2">
        <f t="shared" ref="G8" si="1">E8/F8</f>
        <v>4.9599999999999998E-2</v>
      </c>
      <c r="H8" s="2">
        <f>G8*D8</f>
        <v>9.9199999999999997E-2</v>
      </c>
      <c r="I8" s="2" t="s">
        <v>9</v>
      </c>
      <c r="J8" s="3"/>
    </row>
    <row r="9" spans="1:10" ht="14.4" x14ac:dyDescent="0.3">
      <c r="A9" s="15" t="s">
        <v>35</v>
      </c>
      <c r="B9" s="5" t="s">
        <v>43</v>
      </c>
      <c r="D9" s="4">
        <v>4</v>
      </c>
      <c r="E9" s="2">
        <v>2.48</v>
      </c>
      <c r="F9" s="2">
        <v>50</v>
      </c>
      <c r="G9" s="2">
        <f t="shared" si="0"/>
        <v>4.9599999999999998E-2</v>
      </c>
      <c r="H9" s="2">
        <f>G9*D9</f>
        <v>0.19839999999999999</v>
      </c>
      <c r="I9" s="2" t="s">
        <v>9</v>
      </c>
      <c r="J9" s="3" t="s">
        <v>11</v>
      </c>
    </row>
    <row r="10" spans="1:10" ht="22.95" customHeight="1" x14ac:dyDescent="0.3">
      <c r="A10" s="15" t="s">
        <v>14</v>
      </c>
      <c r="B10" s="5" t="s">
        <v>17</v>
      </c>
      <c r="D10" s="4">
        <v>1</v>
      </c>
      <c r="E10" s="2">
        <v>5.55</v>
      </c>
      <c r="F10" s="2">
        <v>20</v>
      </c>
      <c r="G10" s="2">
        <f t="shared" ref="G10:G15" si="2">E10/F10</f>
        <v>0.27749999999999997</v>
      </c>
      <c r="H10" s="2">
        <f>G10*D10</f>
        <v>0.27749999999999997</v>
      </c>
      <c r="I10" s="2" t="s">
        <v>9</v>
      </c>
      <c r="J10" s="3" t="s">
        <v>13</v>
      </c>
    </row>
    <row r="11" spans="1:10" ht="27.6" x14ac:dyDescent="0.25">
      <c r="A11" s="16" t="s">
        <v>29</v>
      </c>
      <c r="B11" s="5" t="s">
        <v>17</v>
      </c>
      <c r="D11" s="2">
        <v>1</v>
      </c>
      <c r="E11" s="2">
        <v>3</v>
      </c>
      <c r="F11" s="2">
        <v>10</v>
      </c>
      <c r="G11" s="2">
        <f t="shared" si="2"/>
        <v>0.3</v>
      </c>
      <c r="H11" s="2">
        <f>G11*D11</f>
        <v>0.3</v>
      </c>
      <c r="I11" s="2" t="s">
        <v>9</v>
      </c>
    </row>
    <row r="12" spans="1:10" ht="55.2" x14ac:dyDescent="0.25">
      <c r="A12" s="16" t="s">
        <v>36</v>
      </c>
      <c r="B12" s="5" t="s">
        <v>18</v>
      </c>
      <c r="D12" s="4">
        <v>1</v>
      </c>
      <c r="E12" s="2">
        <v>1.7</v>
      </c>
      <c r="F12" s="2">
        <v>10</v>
      </c>
      <c r="G12" s="2">
        <f t="shared" si="2"/>
        <v>0.16999999999999998</v>
      </c>
      <c r="H12" s="2">
        <f>G12*D12</f>
        <v>0.16999999999999998</v>
      </c>
      <c r="I12" s="2" t="s">
        <v>9</v>
      </c>
    </row>
    <row r="13" spans="1:10" ht="46.95" customHeight="1" x14ac:dyDescent="0.3">
      <c r="A13" s="17" t="s">
        <v>27</v>
      </c>
      <c r="B13" s="5" t="s">
        <v>16</v>
      </c>
      <c r="D13" s="4">
        <v>1</v>
      </c>
      <c r="E13" s="2">
        <v>2.52</v>
      </c>
      <c r="F13" s="2">
        <v>10</v>
      </c>
      <c r="G13" s="2">
        <f t="shared" si="2"/>
        <v>0.252</v>
      </c>
      <c r="H13" s="2">
        <f>G13*D13</f>
        <v>0.252</v>
      </c>
      <c r="I13" s="2" t="s">
        <v>9</v>
      </c>
      <c r="J13" s="3" t="s">
        <v>15</v>
      </c>
    </row>
    <row r="14" spans="1:10" ht="41.4" x14ac:dyDescent="0.25">
      <c r="A14" s="17" t="s">
        <v>39</v>
      </c>
      <c r="D14" s="4">
        <v>8.1000000000000003E-2</v>
      </c>
      <c r="E14" s="2">
        <v>25</v>
      </c>
      <c r="F14" s="2">
        <v>1000</v>
      </c>
      <c r="G14" s="2">
        <f t="shared" si="2"/>
        <v>2.5000000000000001E-2</v>
      </c>
      <c r="H14" s="2">
        <f>G14*D14</f>
        <v>2.0250000000000003E-3</v>
      </c>
      <c r="I14" s="2" t="s">
        <v>40</v>
      </c>
    </row>
    <row r="15" spans="1:10" x14ac:dyDescent="0.25">
      <c r="A15" s="18" t="s">
        <v>44</v>
      </c>
      <c r="B15" s="5" t="s">
        <v>24</v>
      </c>
      <c r="D15" s="4">
        <v>3.3</v>
      </c>
      <c r="E15" s="2">
        <v>5.55</v>
      </c>
      <c r="F15" s="2">
        <v>5</v>
      </c>
      <c r="G15" s="2">
        <f t="shared" si="2"/>
        <v>1.1099999999999999</v>
      </c>
      <c r="H15" s="2">
        <f>G15*D15</f>
        <v>3.6629999999999994</v>
      </c>
      <c r="I15" s="2" t="s">
        <v>9</v>
      </c>
    </row>
  </sheetData>
  <autoFilter ref="A1:J15" xr:uid="{8AAEA32C-8B18-406A-9297-66A5EE540648}"/>
  <conditionalFormatting sqref="E16">
    <cfRule type="expression" priority="5">
      <formula>"&lt;=0"</formula>
    </cfRule>
  </conditionalFormatting>
  <hyperlinks>
    <hyperlink ref="J9" r:id="rId1" xr:uid="{5272150E-141C-42E8-8EA9-C0388674BB56}"/>
    <hyperlink ref="J6" r:id="rId2" xr:uid="{AF10FF31-2FBE-420A-BB7E-2C9251F91A51}"/>
    <hyperlink ref="J13" r:id="rId3" xr:uid="{BD993A7E-0641-474A-9337-D2EA6E6C79D0}"/>
    <hyperlink ref="J10" r:id="rId4" xr:uid="{19B9DB6E-463B-4258-92E1-D58D6904296D}"/>
    <hyperlink ref="J4" r:id="rId5" xr:uid="{0691DBB2-397F-448A-A5FB-298B08402DD4}"/>
  </hyperlinks>
  <pageMargins left="0.7" right="0.7" top="0.75" bottom="0.75" header="0.3" footer="0.3"/>
  <pageSetup paperSize="9" orientation="portrait" r:id="rId6"/>
  <drawing r:id="rId7"/>
</worksheet>
</file>

<file path=docMetadata/LabelInfo.xml><?xml version="1.0" encoding="utf-8"?>
<clbl:labelList xmlns:clbl="http://schemas.microsoft.com/office/2020/mipLabelMetadata">
  <clbl:label id="{a15a25aa-e944-415d-b7a7-40f6b9180b6b}" enabled="1" method="Standard" siteId="{eeb8d0e8-3544-41d3-aac6-934c309faf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Fragiacomo Fabio (IFI DC ATV BP TMS)</dc:creator>
  <cp:lastModifiedBy>Fragiacomo Fabio (ATV SP LDS TM LED PAE)</cp:lastModifiedBy>
  <dcterms:created xsi:type="dcterms:W3CDTF">2019-10-17T11:21:27Z</dcterms:created>
  <dcterms:modified xsi:type="dcterms:W3CDTF">2026-09-14T15:04:25Z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2024-04-25T10:16:20Z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e2dac1f7-4854-43ad-866b-5228932d5eaa</vt:lpwstr>
  </property>
  <property fmtid="{D5CDD505-2E9C-101B-9397-08002B2CF9AE}" pid="8" name="MSIP_Label_a15a25aa-e944-415d-b7a7-40f6b9180b6b_ContentBits">
    <vt:lpwstr>0</vt:lpwstr>
  </property>
</Properties>
</file>